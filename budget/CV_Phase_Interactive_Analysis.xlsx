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&amp;V Phase Analysi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<sst xmlns="http://schemas.openxmlformats.org/spreadsheetml/2006/main" count="42" uniqueCount="41">
  <si>
    <t xml:space="preserve">C&amp;V PHASE – INTERACTIVE COST ANALYSIS</t>
  </si>
  <si>
    <t xml:space="preserve">1. BUDGET &amp; SPEND (incl. ECI spend transfer)</t>
  </si>
  <si>
    <t xml:space="preserve">C&amp;V budget</t>
  </si>
  <si>
    <t xml:space="preserve">From budget dashboard (unchanged)</t>
  </si>
  <si>
    <t xml:space="preserve">C&amp;V spend to date (dashboard)</t>
  </si>
  <si>
    <t xml:space="preserve">From budget dashboard</t>
  </si>
  <si>
    <t xml:space="preserve">Spend transferred in from ECI Phase</t>
  </si>
  <si>
    <t xml:space="preserve">C&amp;V work logged against ECI</t>
  </si>
  <si>
    <t xml:space="preserve">Revised C&amp;V spend</t>
  </si>
  <si>
    <t xml:space="preserve">Burn % of budget</t>
  </si>
  <si>
    <t xml:space="preserve">Was 54.3% before transfer</t>
  </si>
  <si>
    <t xml:space="preserve">Remaining budget</t>
  </si>
  <si>
    <t xml:space="preserve">2. RATES</t>
  </si>
  <si>
    <t xml:space="preserve">Your hourly rate</t>
  </si>
  <si>
    <t xml:space="preserve">Provided by you</t>
  </si>
  <si>
    <t xml:space="preserve">Boss's hourly rate</t>
  </si>
  <si>
    <t xml:space="preserve">Your share of time</t>
  </si>
  <si>
    <t xml:space="preserve">Planning split</t>
  </si>
  <si>
    <t xml:space="preserve">Boss's share of time</t>
  </si>
  <si>
    <t xml:space="preserve">Blended hourly rate</t>
  </si>
  <si>
    <t xml:space="preserve">3. PAST SPEND PER INTERACTIVE</t>
  </si>
  <si>
    <t xml:space="preserve">Knowledge share days</t>
  </si>
  <si>
    <t xml:space="preserve">Hours per knowledge share day</t>
  </si>
  <si>
    <t xml:space="preserve">Knowledge share hours</t>
  </si>
  <si>
    <t xml:space="preserve">Knowledge share cost (at blended rate)</t>
  </si>
  <si>
    <t xml:space="preserve">Assumes same 80/20 mix as future</t>
  </si>
  <si>
    <t xml:space="preserve">Spend on interactives only</t>
  </si>
  <si>
    <t xml:space="preserve">Interactives supported to date</t>
  </si>
  <si>
    <t xml:space="preserve">Average cost per interactive</t>
  </si>
  <si>
    <t xml:space="preserve">Average hours per interactive</t>
  </si>
  <si>
    <t xml:space="preserve">4. FUTURE INTERACTIVES (reduced rate)</t>
  </si>
  <si>
    <t xml:space="preserve">Hours saved – no longer attending interactive</t>
  </si>
  <si>
    <t xml:space="preserve">Hours saved – no early admin/challenges</t>
  </si>
  <si>
    <t xml:space="preserve">Total hours removed per interactive</t>
  </si>
  <si>
    <t xml:space="preserve">Future hours per interactive</t>
  </si>
  <si>
    <t xml:space="preserve">Future cost per interactive</t>
  </si>
  <si>
    <t xml:space="preserve">Future interactives remaining budget covers (exact)</t>
  </si>
  <si>
    <t xml:space="preserve">Future interactives we can support (whole)</t>
  </si>
  <si>
    <t xml:space="preserve">Budget left over after those interactives</t>
  </si>
  <si>
    <t xml:space="preserve">Legend: yellow cells with blue text are inputs – change them and everything recalculates. Shaded blue rows are key results.</t>
  </si>
  <si>
    <t xml:space="preserve">Assumption: past hours are estimated by dividing past spend by the 80/20 blended rate, as the actual historic staff mix isn't known.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</si>
</sst>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"/>
    <numFmt numFmtId="167" formatCode="0"/>
    <numFmt numFmtId="168" formatCode="0.0"/>
    <numFmt numFmtId="169" formatCode="0.00&quot; hrs&quot;"/>
    <numFmt numFmtId="170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3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  <c r="B3" s="4"/>
      <c r="C3" s="4"/>
    </row>
    <row r="4" customFormat="false" ht="15" hidden="false" customHeight="false" outlineLevel="0" collapsed="false">
      <c r="A4" s="2" t="s">
        <v>2</v>
      </c>
      <c r="B4" s="5" t="n">
        <v>81600</v>
      </c>
      <c r="C4" s="6" t="s">
        <v>3</v>
      </c>
    </row>
    <row r="5" customFormat="false" ht="15" hidden="false" customHeight="false" outlineLevel="0" collapsed="false">
      <c r="A5" s="2" t="s">
        <v>4</v>
      </c>
      <c r="B5" s="5" t="n">
        <v>44283</v>
      </c>
      <c r="C5" s="6" t="s">
        <v>5</v>
      </c>
    </row>
    <row r="6" customFormat="false" ht="15" hidden="false" customHeight="false" outlineLevel="0" collapsed="false">
      <c r="A6" s="2" t="s">
        <v>6</v>
      </c>
      <c r="B6" s="5" t="n">
        <v>10000</v>
      </c>
      <c r="C6" s="6" t="s">
        <v>7</v>
      </c>
    </row>
    <row r="7" customFormat="false" ht="15" hidden="false" customHeight="false" outlineLevel="0" collapsed="false">
      <c r="A7" s="2" t="s">
        <v>8</v>
      </c>
      <c r="B7" s="7" t="n">
        <f aca="false">B5+B6</f>
        <v>54283</v>
      </c>
    </row>
    <row r="8" customFormat="false" ht="15" hidden="false" customHeight="false" outlineLevel="0" collapsed="false">
      <c r="A8" s="2" t="s">
        <v>9</v>
      </c>
      <c r="B8" s="8" t="n">
        <f aca="false">B7/B4</f>
        <v>0.665232843137255</v>
      </c>
      <c r="C8" s="6" t="s">
        <v>10</v>
      </c>
    </row>
    <row r="9" customFormat="false" ht="15" hidden="false" customHeight="false" outlineLevel="0" collapsed="false">
      <c r="A9" s="9" t="s">
        <v>11</v>
      </c>
      <c r="B9" s="10" t="n">
        <f aca="false">B4-B7</f>
        <v>27317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12</v>
      </c>
      <c r="B11" s="4"/>
      <c r="C11" s="4"/>
    </row>
    <row r="12" customFormat="false" ht="15" hidden="false" customHeight="false" outlineLevel="0" collapsed="false">
      <c r="A12" s="2" t="s">
        <v>13</v>
      </c>
      <c r="B12" s="5" t="n">
        <v>263</v>
      </c>
      <c r="C12" s="6" t="s">
        <v>14</v>
      </c>
    </row>
    <row r="13" customFormat="false" ht="15" hidden="false" customHeight="false" outlineLevel="0" collapsed="false">
      <c r="A13" s="2" t="s">
        <v>15</v>
      </c>
      <c r="B13" s="5" t="n">
        <v>526</v>
      </c>
      <c r="C13" s="6" t="s">
        <v>14</v>
      </c>
    </row>
    <row r="14" customFormat="false" ht="15" hidden="false" customHeight="false" outlineLevel="0" collapsed="false">
      <c r="A14" s="2" t="s">
        <v>16</v>
      </c>
      <c r="B14" s="11" t="n">
        <v>0.8</v>
      </c>
      <c r="C14" s="6" t="s">
        <v>17</v>
      </c>
    </row>
    <row r="15" customFormat="false" ht="15" hidden="false" customHeight="false" outlineLevel="0" collapsed="false">
      <c r="A15" s="2" t="s">
        <v>18</v>
      </c>
      <c r="B15" s="8" t="n">
        <f aca="false">1-B14</f>
        <v>0.2</v>
      </c>
    </row>
    <row r="16" customFormat="false" ht="15" hidden="false" customHeight="false" outlineLevel="0" collapsed="false">
      <c r="A16" s="9" t="s">
        <v>19</v>
      </c>
      <c r="B16" s="10" t="n">
        <f aca="false">B12*B14+B13*B15</f>
        <v>315.6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20</v>
      </c>
      <c r="B18" s="4"/>
      <c r="C18" s="4"/>
    </row>
    <row r="19" customFormat="false" ht="15" hidden="false" customHeight="false" outlineLevel="0" collapsed="false">
      <c r="A19" s="2" t="s">
        <v>21</v>
      </c>
      <c r="B19" s="12" t="n">
        <v>4</v>
      </c>
    </row>
    <row r="20" customFormat="false" ht="15" hidden="false" customHeight="false" outlineLevel="0" collapsed="false">
      <c r="A20" s="2" t="s">
        <v>22</v>
      </c>
      <c r="B20" s="13" t="n">
        <v>7</v>
      </c>
    </row>
    <row r="21" customFormat="false" ht="15" hidden="false" customHeight="false" outlineLevel="0" collapsed="false">
      <c r="A21" s="2" t="s">
        <v>23</v>
      </c>
      <c r="B21" s="14" t="n">
        <f aca="false">B19*B20</f>
        <v>28</v>
      </c>
    </row>
    <row r="22" customFormat="false" ht="15" hidden="false" customHeight="false" outlineLevel="0" collapsed="false">
      <c r="A22" s="2" t="s">
        <v>24</v>
      </c>
      <c r="B22" s="7" t="n">
        <f aca="false">B21*B16</f>
        <v>8836.8</v>
      </c>
      <c r="C22" s="6" t="s">
        <v>25</v>
      </c>
    </row>
    <row r="23" customFormat="false" ht="15" hidden="false" customHeight="false" outlineLevel="0" collapsed="false">
      <c r="A23" s="2" t="s">
        <v>26</v>
      </c>
      <c r="B23" s="7" t="n">
        <f aca="false">B7-B22</f>
        <v>45446.2</v>
      </c>
    </row>
    <row r="24" customFormat="false" ht="15" hidden="false" customHeight="false" outlineLevel="0" collapsed="false">
      <c r="A24" s="2" t="s">
        <v>27</v>
      </c>
      <c r="B24" s="12" t="n">
        <v>7</v>
      </c>
    </row>
    <row r="25" customFormat="false" ht="15" hidden="false" customHeight="false" outlineLevel="0" collapsed="false">
      <c r="A25" s="9" t="s">
        <v>28</v>
      </c>
      <c r="B25" s="10" t="n">
        <f aca="false">B23/B24</f>
        <v>6492.31428571429</v>
      </c>
    </row>
    <row r="26" customFormat="false" ht="15" hidden="false" customHeight="false" outlineLevel="0" collapsed="false">
      <c r="A26" s="9" t="s">
        <v>29</v>
      </c>
      <c r="B26" s="15" t="n">
        <f aca="false">B25/B16</f>
        <v>20.5713380409198</v>
      </c>
    </row>
    <row r="27" customFormat="false" ht="15" hidden="false" customHeight="false" outlineLevel="0" collapsed="false">
      <c r="A27" s="2"/>
    </row>
    <row r="28" customFormat="false" ht="15" hidden="false" customHeight="false" outlineLevel="0" collapsed="false">
      <c r="A28" s="3" t="s">
        <v>30</v>
      </c>
      <c r="B28" s="4"/>
      <c r="C28" s="4"/>
    </row>
    <row r="29" customFormat="false" ht="15" hidden="false" customHeight="false" outlineLevel="0" collapsed="false">
      <c r="A29" s="2" t="s">
        <v>31</v>
      </c>
      <c r="B29" s="13" t="n">
        <v>4</v>
      </c>
    </row>
    <row r="30" customFormat="false" ht="15" hidden="false" customHeight="false" outlineLevel="0" collapsed="false">
      <c r="A30" s="2" t="s">
        <v>32</v>
      </c>
      <c r="B30" s="13" t="n">
        <v>1.5</v>
      </c>
    </row>
    <row r="31" customFormat="false" ht="15" hidden="false" customHeight="false" outlineLevel="0" collapsed="false">
      <c r="A31" s="2" t="s">
        <v>33</v>
      </c>
      <c r="B31" s="14" t="n">
        <f aca="false">B29+B30</f>
        <v>5.5</v>
      </c>
    </row>
    <row r="32" customFormat="false" ht="15" hidden="false" customHeight="false" outlineLevel="0" collapsed="false">
      <c r="A32" s="2" t="s">
        <v>34</v>
      </c>
      <c r="B32" s="14" t="n">
        <f aca="false">B26-B31</f>
        <v>15.0713380409198</v>
      </c>
    </row>
    <row r="33" customFormat="false" ht="15" hidden="false" customHeight="false" outlineLevel="0" collapsed="false">
      <c r="A33" s="9" t="s">
        <v>35</v>
      </c>
      <c r="B33" s="10" t="n">
        <f aca="false">B32*B16</f>
        <v>4756.51428571429</v>
      </c>
    </row>
    <row r="34" customFormat="false" ht="15" hidden="false" customHeight="false" outlineLevel="0" collapsed="false">
      <c r="A34" s="2" t="s">
        <v>36</v>
      </c>
      <c r="B34" s="16" t="n">
        <f aca="false">B9/B33</f>
        <v>5.74307115654921</v>
      </c>
    </row>
    <row r="35" customFormat="false" ht="15" hidden="false" customHeight="false" outlineLevel="0" collapsed="false">
      <c r="A35" s="9" t="s">
        <v>37</v>
      </c>
      <c r="B35" s="17" t="n">
        <f aca="false">ROUNDDOWN(B34,0)</f>
        <v>5</v>
      </c>
    </row>
    <row r="36" customFormat="false" ht="15" hidden="false" customHeight="false" outlineLevel="0" collapsed="false">
      <c r="A36" s="2" t="s">
        <v>38</v>
      </c>
      <c r="B36" s="7" t="n">
        <f aca="false">B9-B35*B33</f>
        <v>3534.42857142857</v>
      </c>
    </row>
    <row r="38" customFormat="false" ht="15" hidden="false" customHeight="false" outlineLevel="0" collapsed="false">
      <c r="A38" s="18" t="s">
        <v>39</v>
      </c>
    </row>
    <row r="39" customFormat="false" ht="15" hidden="false" customHeight="false" outlineLevel="0" collapsed="false">
      <c r="A39" s="18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2026-10-13T00:03:26Z</dcterms:created>
  <dc:creator>openpyxl</dc:creator>
  <dc:description/>
  <dc:language>en-US</dc:language>
  <cp:lastModifiedBy/>
  <dcterms:modified xsi:type="dcterms:W3CDTF">2026-10-13T00:03:26Z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