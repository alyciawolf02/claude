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&amp;V Phase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<sst xmlns="http://schemas.openxmlformats.org/spreadsheetml/2006/main" count="55" uniqueCount="53">
  <si>
    <t xml:space="preserve">C&amp;V PHASE – INTERACTIVE COST ANALYSIS</t>
  </si>
  <si>
    <t xml:space="preserve">1. BUDGET &amp; SPEND</t>
  </si>
  <si>
    <t xml:space="preserve">C&amp;V budget</t>
  </si>
  <si>
    <t xml:space="preserve">From budget dashboard</t>
  </si>
  <si>
    <t xml:space="preserve">C&amp;V spend to date</t>
  </si>
  <si>
    <t xml:space="preserve">Latest dashboard – ECI corrections now included</t>
  </si>
  <si>
    <t xml:space="preserve">Remaining budget (dashboard)</t>
  </si>
  <si>
    <t xml:space="preserve">Remaining budget used for planning</t>
  </si>
  <si>
    <t xml:space="preserve">Rounded figure provided by Alycia</t>
  </si>
  <si>
    <t xml:space="preserve">2. RATES</t>
  </si>
  <si>
    <t xml:space="preserve">Alycia hourly rate</t>
  </si>
  <si>
    <t xml:space="preserve">Provided by Alycia</t>
  </si>
  <si>
    <t xml:space="preserve">Jeffrey hourly rate</t>
  </si>
  <si>
    <t xml:space="preserve">Past mix – Alycia share of time</t>
  </si>
  <si>
    <t xml:space="preserve">Used only to estimate past hours</t>
  </si>
  <si>
    <t xml:space="preserve">Past blended hourly rate</t>
  </si>
  <si>
    <t xml:space="preserve">3. PAST SPEND PER INTERACTIVE</t>
  </si>
  <si>
    <t xml:space="preserve">Knowledge share days</t>
  </si>
  <si>
    <t xml:space="preserve">Hours per knowledge share day</t>
  </si>
  <si>
    <t xml:space="preserve">Knowledge share cost (at past blended rate)</t>
  </si>
  <si>
    <t xml:space="preserve">Submissions supported to date</t>
  </si>
  <si>
    <t xml:space="preserve">Hours per submission (Alycia only)</t>
  </si>
  <si>
    <t xml:space="preserve">Submission cost to date</t>
  </si>
  <si>
    <t xml:space="preserve">Spend on interactives only</t>
  </si>
  <si>
    <t xml:space="preserve">Interactives supported to date</t>
  </si>
  <si>
    <t xml:space="preserve">Average cost per past interactive</t>
  </si>
  <si>
    <t xml:space="preserve">Average hours per past interactive</t>
  </si>
  <si>
    <t xml:space="preserve">Estimated at past blended rate</t>
  </si>
  <si>
    <t xml:space="preserve">4. FUTURE COMMITMENTS</t>
  </si>
  <si>
    <t xml:space="preserve">Upcoming submissions (GoFar request)</t>
  </si>
  <si>
    <t xml:space="preserve">Upcoming submission cost (Alycia only)</t>
  </si>
  <si>
    <t xml:space="preserve">Budget available for interactives</t>
  </si>
  <si>
    <t xml:space="preserve">5. FUTURE INTERACTIVE ASSUMPTIONS</t>
  </si>
  <si>
    <t xml:space="preserve">Jeffrey hours per interactive</t>
  </si>
  <si>
    <t xml:space="preserve">45 minutes</t>
  </si>
  <si>
    <t xml:space="preserve">Saving – no longer attending interactive</t>
  </si>
  <si>
    <t xml:space="preserve">Saving – no early admin/challenges</t>
  </si>
  <si>
    <t xml:space="preserve">Saving – no debrief document/guidance</t>
  </si>
  <si>
    <t xml:space="preserve">Planned hours per interactive</t>
  </si>
  <si>
    <t xml:space="preserve">Alycia's estimate</t>
  </si>
  <si>
    <t xml:space="preserve">6. HOW MANY MORE INTERACTIVES?</t>
  </si>
  <si>
    <t xml:space="preserve">Planned (10 hrs)</t>
  </si>
  <si>
    <t xml:space="preserve">Based on past average</t>
  </si>
  <si>
    <t xml:space="preserve">Total hours per interactive</t>
  </si>
  <si>
    <t xml:space="preserve">Jeffrey hours</t>
  </si>
  <si>
    <t xml:space="preserve">Alycia hours</t>
  </si>
  <si>
    <t xml:space="preserve">Cost per interactive</t>
  </si>
  <si>
    <t xml:space="preserve">Interactives budget covers (exact)</t>
  </si>
  <si>
    <t xml:space="preserve">Interactives we can support (whole)</t>
  </si>
  <si>
    <t xml:space="preserve">Budget left over</t>
  </si>
  <si>
    <t xml:space="preserve">Legend: yellow cells with blue text are inputs – change them and everything recalculates. Shaded blue rows are key results.</t>
  </si>
  <si>
    <t xml:space="preserve">Assumption: past hours are estimated using an 80/20 Alycia/Jeffrey mix, as the actual historic staff mix isn't known.</t>
  </si>
  <si>
    <t xml:space="preserve">Future interactives assume Jeffrey contributes 45 minutes each and Alycia does the rest. Submissions are Alycia's time only.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</si>
</sst>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%"/>
    <numFmt numFmtId="167" formatCode="0"/>
    <numFmt numFmtId="168" formatCode="0.0"/>
    <numFmt numFmtId="169" formatCode="0.00&quot; hrs&quot;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22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</row>
    <row r="4" customFormat="false" ht="15" hidden="false" customHeight="false" outlineLevel="0" collapsed="false">
      <c r="A4" s="4" t="s">
        <v>2</v>
      </c>
      <c r="B4" s="5" t="n">
        <v>81600</v>
      </c>
      <c r="E4" s="6" t="s">
        <v>3</v>
      </c>
    </row>
    <row r="5" customFormat="false" ht="15" hidden="false" customHeight="false" outlineLevel="0" collapsed="false">
      <c r="A5" s="4" t="s">
        <v>4</v>
      </c>
      <c r="B5" s="5" t="n">
        <v>58970.25</v>
      </c>
      <c r="E5" s="6" t="s">
        <v>5</v>
      </c>
    </row>
    <row r="6" customFormat="false" ht="15" hidden="false" customHeight="false" outlineLevel="0" collapsed="false">
      <c r="A6" s="4" t="s">
        <v>6</v>
      </c>
      <c r="B6" s="7" t="n">
        <f aca="false">B4-B5</f>
        <v>22629.75</v>
      </c>
    </row>
    <row r="7" customFormat="false" ht="15" hidden="false" customHeight="false" outlineLevel="0" collapsed="false">
      <c r="A7" s="4" t="s">
        <v>7</v>
      </c>
      <c r="B7" s="5" t="n">
        <v>22600</v>
      </c>
      <c r="E7" s="6" t="s">
        <v>8</v>
      </c>
    </row>
    <row r="9" customFormat="false" ht="15" hidden="false" customHeight="false" outlineLevel="0" collapsed="false">
      <c r="A9" s="2" t="s">
        <v>9</v>
      </c>
      <c r="B9" s="3"/>
      <c r="C9" s="3"/>
      <c r="D9" s="3"/>
      <c r="E9" s="3"/>
    </row>
    <row r="10" customFormat="false" ht="15" hidden="false" customHeight="false" outlineLevel="0" collapsed="false">
      <c r="A10" s="4" t="s">
        <v>10</v>
      </c>
      <c r="B10" s="5" t="n">
        <v>263</v>
      </c>
      <c r="E10" s="6" t="s">
        <v>11</v>
      </c>
    </row>
    <row r="11" customFormat="false" ht="15" hidden="false" customHeight="false" outlineLevel="0" collapsed="false">
      <c r="A11" s="4" t="s">
        <v>12</v>
      </c>
      <c r="B11" s="5" t="n">
        <v>526</v>
      </c>
      <c r="E11" s="6" t="s">
        <v>11</v>
      </c>
    </row>
    <row r="12" customFormat="false" ht="15" hidden="false" customHeight="false" outlineLevel="0" collapsed="false">
      <c r="A12" s="4" t="s">
        <v>13</v>
      </c>
      <c r="B12" s="8" t="n">
        <v>0.8</v>
      </c>
      <c r="E12" s="6" t="s">
        <v>14</v>
      </c>
    </row>
    <row r="13" customFormat="false" ht="15" hidden="false" customHeight="false" outlineLevel="0" collapsed="false">
      <c r="A13" s="4" t="s">
        <v>15</v>
      </c>
      <c r="B13" s="7" t="n">
        <f aca="false">B10*B12+B11*(1-B12)</f>
        <v>315.6</v>
      </c>
    </row>
    <row r="15" customFormat="false" ht="15" hidden="false" customHeight="false" outlineLevel="0" collapsed="false">
      <c r="A15" s="2" t="s">
        <v>16</v>
      </c>
      <c r="B15" s="3"/>
      <c r="C15" s="3"/>
      <c r="D15" s="3"/>
      <c r="E15" s="3"/>
    </row>
    <row r="16" customFormat="false" ht="15" hidden="false" customHeight="false" outlineLevel="0" collapsed="false">
      <c r="A16" s="4" t="s">
        <v>17</v>
      </c>
      <c r="B16" s="9" t="n">
        <v>4</v>
      </c>
    </row>
    <row r="17" customFormat="false" ht="15" hidden="false" customHeight="false" outlineLevel="0" collapsed="false">
      <c r="A17" s="4" t="s">
        <v>18</v>
      </c>
      <c r="B17" s="10" t="n">
        <v>7</v>
      </c>
    </row>
    <row r="18" customFormat="false" ht="15" hidden="false" customHeight="false" outlineLevel="0" collapsed="false">
      <c r="A18" s="4" t="s">
        <v>19</v>
      </c>
      <c r="B18" s="7" t="n">
        <f aca="false">B16*B17*B13</f>
        <v>8836.8</v>
      </c>
    </row>
    <row r="19" customFormat="false" ht="15" hidden="false" customHeight="false" outlineLevel="0" collapsed="false">
      <c r="A19" s="4" t="s">
        <v>20</v>
      </c>
      <c r="B19" s="9" t="n">
        <v>2</v>
      </c>
    </row>
    <row r="20" customFormat="false" ht="15" hidden="false" customHeight="false" outlineLevel="0" collapsed="false">
      <c r="A20" s="4" t="s">
        <v>21</v>
      </c>
      <c r="B20" s="10" t="n">
        <v>3</v>
      </c>
      <c r="E20" s="6" t="s">
        <v>11</v>
      </c>
    </row>
    <row r="21" customFormat="false" ht="15" hidden="false" customHeight="false" outlineLevel="0" collapsed="false">
      <c r="A21" s="4" t="s">
        <v>22</v>
      </c>
      <c r="B21" s="7" t="n">
        <f aca="false">B19*B20*B10</f>
        <v>1578</v>
      </c>
    </row>
    <row r="22" customFormat="false" ht="15" hidden="false" customHeight="false" outlineLevel="0" collapsed="false">
      <c r="A22" s="4" t="s">
        <v>23</v>
      </c>
      <c r="B22" s="7" t="n">
        <f aca="false">B5-B18-B21</f>
        <v>48555.45</v>
      </c>
    </row>
    <row r="23" customFormat="false" ht="15" hidden="false" customHeight="false" outlineLevel="0" collapsed="false">
      <c r="A23" s="4" t="s">
        <v>24</v>
      </c>
      <c r="B23" s="9" t="n">
        <v>8</v>
      </c>
    </row>
    <row r="24" customFormat="false" ht="15" hidden="false" customHeight="false" outlineLevel="0" collapsed="false">
      <c r="A24" s="11" t="s">
        <v>25</v>
      </c>
      <c r="B24" s="12" t="n">
        <f aca="false">B22/B23</f>
        <v>6069.43125</v>
      </c>
    </row>
    <row r="25" customFormat="false" ht="15" hidden="false" customHeight="false" outlineLevel="0" collapsed="false">
      <c r="A25" s="11" t="s">
        <v>26</v>
      </c>
      <c r="B25" s="13" t="n">
        <f aca="false">B24/B13</f>
        <v>19.2314044676806</v>
      </c>
      <c r="E25" s="6" t="s">
        <v>27</v>
      </c>
    </row>
    <row r="27" customFormat="false" ht="15" hidden="false" customHeight="false" outlineLevel="0" collapsed="false">
      <c r="A27" s="2" t="s">
        <v>28</v>
      </c>
      <c r="B27" s="3"/>
      <c r="C27" s="3"/>
      <c r="D27" s="3"/>
      <c r="E27" s="3"/>
    </row>
    <row r="28" customFormat="false" ht="15" hidden="false" customHeight="false" outlineLevel="0" collapsed="false">
      <c r="A28" s="4" t="s">
        <v>29</v>
      </c>
      <c r="B28" s="9" t="n">
        <v>3</v>
      </c>
    </row>
    <row r="29" customFormat="false" ht="15" hidden="false" customHeight="false" outlineLevel="0" collapsed="false">
      <c r="A29" s="4" t="s">
        <v>30</v>
      </c>
      <c r="B29" s="7" t="n">
        <f aca="false">B28*B20*B10</f>
        <v>2367</v>
      </c>
    </row>
    <row r="30" customFormat="false" ht="15" hidden="false" customHeight="false" outlineLevel="0" collapsed="false">
      <c r="A30" s="11" t="s">
        <v>31</v>
      </c>
      <c r="B30" s="12" t="n">
        <f aca="false">B7-B29</f>
        <v>20233</v>
      </c>
    </row>
    <row r="32" customFormat="false" ht="15" hidden="false" customHeight="false" outlineLevel="0" collapsed="false">
      <c r="A32" s="2" t="s">
        <v>32</v>
      </c>
      <c r="B32" s="3"/>
      <c r="C32" s="3"/>
      <c r="D32" s="3"/>
      <c r="E32" s="3"/>
    </row>
    <row r="33" customFormat="false" ht="15" hidden="false" customHeight="false" outlineLevel="0" collapsed="false">
      <c r="A33" s="4" t="s">
        <v>33</v>
      </c>
      <c r="B33" s="14" t="n">
        <v>0.75</v>
      </c>
      <c r="E33" s="6" t="s">
        <v>34</v>
      </c>
    </row>
    <row r="34" customFormat="false" ht="15" hidden="false" customHeight="false" outlineLevel="0" collapsed="false">
      <c r="A34" s="4" t="s">
        <v>35</v>
      </c>
      <c r="B34" s="10" t="n">
        <v>4</v>
      </c>
    </row>
    <row r="35" customFormat="false" ht="15" hidden="false" customHeight="false" outlineLevel="0" collapsed="false">
      <c r="A35" s="4" t="s">
        <v>36</v>
      </c>
      <c r="B35" s="10" t="n">
        <v>1.5</v>
      </c>
    </row>
    <row r="36" customFormat="false" ht="15" hidden="false" customHeight="false" outlineLevel="0" collapsed="false">
      <c r="A36" s="4" t="s">
        <v>37</v>
      </c>
      <c r="B36" s="10" t="n">
        <v>1</v>
      </c>
    </row>
    <row r="37" customFormat="false" ht="15" hidden="false" customHeight="false" outlineLevel="0" collapsed="false">
      <c r="A37" s="4" t="s">
        <v>38</v>
      </c>
      <c r="B37" s="10" t="n">
        <v>10</v>
      </c>
      <c r="E37" s="6" t="s">
        <v>39</v>
      </c>
    </row>
    <row r="39" customFormat="false" ht="15" hidden="false" customHeight="false" outlineLevel="0" collapsed="false">
      <c r="A39" s="2" t="s">
        <v>40</v>
      </c>
      <c r="B39" s="3"/>
      <c r="C39" s="3"/>
      <c r="D39" s="3"/>
      <c r="E39" s="3"/>
    </row>
    <row r="40" customFormat="false" ht="15" hidden="false" customHeight="false" outlineLevel="0" collapsed="false">
      <c r="A40" s="15"/>
      <c r="B40" s="15" t="s">
        <v>41</v>
      </c>
      <c r="C40" s="15" t="s">
        <v>42</v>
      </c>
    </row>
    <row r="41" customFormat="false" ht="15" hidden="false" customHeight="false" outlineLevel="0" collapsed="false">
      <c r="A41" s="4" t="s">
        <v>43</v>
      </c>
      <c r="B41" s="16" t="n">
        <f aca="false">B37</f>
        <v>10</v>
      </c>
      <c r="C41" s="16" t="n">
        <f aca="false">B25-B34-B35-B36</f>
        <v>12.7314044676806</v>
      </c>
    </row>
    <row r="42" customFormat="false" ht="15" hidden="false" customHeight="false" outlineLevel="0" collapsed="false">
      <c r="A42" s="4" t="s">
        <v>44</v>
      </c>
      <c r="B42" s="17" t="n">
        <f aca="false">MIN(B33,B41)</f>
        <v>0.75</v>
      </c>
      <c r="C42" s="17" t="n">
        <f aca="false">MIN(B33,C41)</f>
        <v>0.75</v>
      </c>
    </row>
    <row r="43" customFormat="false" ht="15" hidden="false" customHeight="false" outlineLevel="0" collapsed="false">
      <c r="A43" s="4" t="s">
        <v>45</v>
      </c>
      <c r="B43" s="17" t="n">
        <f aca="false">B41-B42</f>
        <v>9.25</v>
      </c>
      <c r="C43" s="17" t="n">
        <f aca="false">C41-C42</f>
        <v>11.9814044676806</v>
      </c>
    </row>
    <row r="44" customFormat="false" ht="15" hidden="false" customHeight="false" outlineLevel="0" collapsed="false">
      <c r="A44" s="11" t="s">
        <v>46</v>
      </c>
      <c r="B44" s="12" t="n">
        <f aca="false">B43*B10+B42*B11</f>
        <v>2827.25</v>
      </c>
      <c r="C44" s="12" t="n">
        <f aca="false">C43*B10+C42*B11</f>
        <v>3545.609375</v>
      </c>
    </row>
    <row r="45" customFormat="false" ht="15" hidden="false" customHeight="false" outlineLevel="0" collapsed="false">
      <c r="A45" s="4" t="s">
        <v>47</v>
      </c>
      <c r="B45" s="17" t="n">
        <f aca="false">B30/B44</f>
        <v>7.15642408701035</v>
      </c>
      <c r="C45" s="17" t="n">
        <f aca="false">B30/C44</f>
        <v>5.70649438786527</v>
      </c>
    </row>
    <row r="46" customFormat="false" ht="15" hidden="false" customHeight="false" outlineLevel="0" collapsed="false">
      <c r="A46" s="11" t="s">
        <v>48</v>
      </c>
      <c r="B46" s="18" t="n">
        <f aca="false">ROUNDDOWN(B45,0)</f>
        <v>7</v>
      </c>
      <c r="C46" s="18" t="n">
        <f aca="false">ROUNDDOWN(C45,0)</f>
        <v>5</v>
      </c>
    </row>
    <row r="47" customFormat="false" ht="15" hidden="false" customHeight="false" outlineLevel="0" collapsed="false">
      <c r="A47" s="4" t="s">
        <v>49</v>
      </c>
      <c r="B47" s="7" t="n">
        <f aca="false">B30-B46*B44</f>
        <v>442.25</v>
      </c>
      <c r="C47" s="7" t="n">
        <f aca="false">B30-C46*C44</f>
        <v>2504.953125</v>
      </c>
    </row>
    <row r="49" customFormat="false" ht="15" hidden="false" customHeight="false" outlineLevel="0" collapsed="false">
      <c r="A49" s="19" t="s">
        <v>50</v>
      </c>
    </row>
    <row r="50" customFormat="false" ht="15" hidden="false" customHeight="false" outlineLevel="0" collapsed="false">
      <c r="A50" s="19" t="s">
        <v>51</v>
      </c>
    </row>
    <row r="51" customFormat="false" ht="15" hidden="false" customHeight="false" outlineLevel="0" collapsed="false">
      <c r="A51" s="1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2026-10-15T04:58:29Z</dcterms:created>
  <dc:creator>openpyxl</dc:creator>
  <dc:description/>
  <dc:language>en-US</dc:language>
  <cp:lastModifiedBy/>
  <dcterms:modified xsi:type="dcterms:W3CDTF">2026-10-15T04:58:29Z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